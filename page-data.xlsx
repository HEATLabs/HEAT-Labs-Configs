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pages!$A$1:$E$996</definedName>
  </definedNames>
  <calcPr/>
</workbook>
</file>

<file path=xl/sharedStrings.xml><?xml version="1.0" encoding="utf-8"?>
<sst xmlns="http://schemas.openxmlformats.org/spreadsheetml/2006/main" count="1436" uniqueCount="301">
  <si>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</si>
  <si>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</si>
  <si>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</si>
  <si>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</si>
  <si>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</si>
  <si>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</si>
  <si>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</si>
  <si>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</si>
  <si>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</si>
  <si>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</si>
  <si>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</si>
  <si>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</si>
  <si>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</si>
  <si>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</si>
  <si>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</si>
  <si>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</si>
  <si>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</si>
  <si>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</si>
  <si>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</si>
  <si>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</si>
  <si>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</si>
  <si>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</si>
  <si>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</si>
  <si>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</si>
  <si>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</si>
  <si>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</si>
  <si>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</si>
  <si>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</si>
  <si>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</si>
  <si>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</si>
  <si>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</si>
  <si>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</si>
  <si>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</si>
  <si>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</si>
  <si>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</si>
  <si>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</si>
  <si>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</si>
  <si>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</si>
  <si>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</si>
  <si>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</si>
  <si>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</si>
  <si>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</si>
  <si>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</si>
  <si>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</si>
  <si>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</si>
  <si>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</si>
  <si>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</si>
  <si>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</si>
  <si>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</si>
  <si>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</si>
  <si>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</si>
  <si>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</si>
  <si>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</si>
  <si>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</si>
  <si>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</si>
  <si>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</si>
  <si>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</si>
  <si>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</si>
  <si>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</si>
  <si>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</si>
  <si>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</si>
  <si>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</si>
  <si>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</si>
  <si>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</si>
  <si>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</si>
  <si>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</si>
  <si>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</si>
  <si>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</si>
  <si>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</si>
  <si>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</si>
  <si>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</si>
  <si>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</si>
  <si>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</si>
  <si>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</si>
  <si>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</si>
  <si>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</si>
  <si>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</si>
  <si>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</si>
  <si>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</si>
  <si>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</si>
  <si>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</si>
  <si>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</si>
  <si>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</si>
  <si>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</si>
  <si>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</si>
  <si>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</si>
  <si>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</si>
  <si>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</si>
  <si>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</si>
  <si>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</si>
  <si>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</si>
  <si>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</si>
  <si>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</si>
  <si>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</si>
  <si>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</si>
  <si>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</si>
  <si>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</si>
  <si>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</si>
  <si>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</si>
  <si>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</si>
  <si>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</si>
  <si>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</si>
  <si>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</si>
  <si>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</si>
  <si>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</si>
  <si>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</si>
  <si>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</si>
  <si>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</si>
  <si>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</si>
  <si>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</si>
  <si>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</si>
  <si>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</si>
  <si>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</si>
  <si>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</si>
  <si>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</si>
  <si>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</si>
  <si>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</si>
  <si>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</si>
  <si>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</si>
  <si>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</si>
  <si>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</si>
  <si>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</si>
  <si>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</si>
  <si>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</si>
  <si>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</si>
  <si>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</si>
  <si>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</si>
  <si>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</si>
  <si>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</si>
  <si>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</si>
  <si>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</si>
  <si>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</si>
  <si>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</si>
  <si>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</si>
  <si>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</si>
  <si>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</si>
  <si>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</si>
  <si>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</si>
  <si>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</si>
  <si>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</si>
  <si>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</si>
  <si>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</si>
  <si>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</si>
  <si>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</si>
  <si>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</si>
  <si>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</si>
  <si>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</si>
  <si>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</si>
  <si>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</si>
  <si>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</si>
  <si>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</si>
  <si>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</si>
  <si>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</si>
  <si>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</si>
  <si>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</si>
  <si>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</si>
  <si>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</si>
  <si>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</si>
  <si>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</si>
  <si>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</si>
  <si>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</si>
  <si>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</si>
  <si>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</si>
  <si>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</si>
  <si>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</si>
  <si>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</si>
  <si>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</si>
  <si>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</si>
  <si>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</si>
  <si>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</si>
  <si>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</si>
  <si>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</si>
  <si>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</si>
  <si>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</si>
  <si>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</si>
  <si>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</si>
  <si>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</si>
  <si>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</si>
  <si>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</si>
  <si>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</si>
  <si>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</si>
  <si>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</si>
  <si>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</si>
  <si>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</si>
  <si>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</si>
  <si>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</si>
  <si>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</si>
  <si>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</si>
  <si>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</si>
  <si>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</si>
  <si>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</si>
  <si>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</si>
  <si>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</si>
  <si>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</si>
  <si>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</si>
  <si>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</si>
  <si>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</si>
  <si>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</si>
  <si>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</si>
  <si>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</si>
  <si>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</si>
  <si>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</si>
  <si>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</si>
  <si>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</si>
  <si>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</si>
  <si>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</si>
  <si>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</si>
  <si>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</si>
  <si>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</si>
  <si>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</si>
  <si>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</si>
  <si>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</si>
  <si>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</si>
  <si>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</si>
  <si>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</si>
  <si>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</si>
  <si>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</si>
  <si>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</si>
  <si>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</si>
  <si>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</si>
  <si>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</si>
  <si>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</si>
  <si>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</si>
  <si>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</si>
  <si>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</si>
  <si>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</si>
  <si>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</si>
  <si>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</si>
  <si>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</si>
  <si>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</si>
  <si>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</si>
  <si>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</si>
  <si>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</si>
  <si>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</si>
  <si>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</si>
  <si>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</si>
  <si>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</si>
  <si>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</si>
  <si>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</si>
  <si>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</si>
  <si>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</si>
  <si>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</si>
  <si>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</si>
  <si>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</si>
  <si>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</si>
  <si>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</si>
  <si>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</si>
  <si>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</si>
  <si>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</si>
  <si>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</si>
  <si>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</si>
  <si>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</si>
  <si>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</si>
  <si>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</si>
  <si>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</si>
  <si>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</si>
  <si>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</si>
  <si>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https://heatlabs.net/steam-news/human-machine-synergy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</si>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</sst>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551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1-v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xm1-90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62av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t-55-enigma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ptz89c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object-287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t-72b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72au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64a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2ms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object-279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m60e2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a3e2-bot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leopard-2k14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2fk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1a6a1.html" TargetMode="External"/><Relationship Id="rId250" Type="http://schemas.openxmlformats.org/officeDocument/2006/relationships/hyperlink" Target="https://heatlabs.github.io/tanks/leopard-1a1b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60a3e2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3a1-bradley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1e1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m1-railgun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163" Type="http://schemas.openxmlformats.org/officeDocument/2006/relationships/hyperlink" Target="https://heatlabs.github.io/news/alpha-2-3-days-to-go.html" TargetMode="External"/><Relationship Id="rId284" Type="http://schemas.openxmlformats.org/officeDocument/2006/relationships/drawing" Target="../drawings/drawing1.xm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hyperlink" Target="https://heatlabs.net/" TargetMode="Externa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github.io/tournaments/open-alpha-1-tournament.html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net/tournaments/brackets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github.io/tournaments.html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anks/xm808-twister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mods.heatlabs.net/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heatlabs.github.io/agents/anansi.html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tournaments/open-alpha-2-tournament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hstv-l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fv4030x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github.io/tanks/bat-4m.html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net/steam-news/the-source-of-heat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github.io/steam-news/join-the-lodestar-program.html" TargetMode="External"/><Relationship Id="rId240" Type="http://schemas.openxmlformats.org/officeDocument/2006/relationships/hyperlink" Target="https://heatlabs.net/steam-news/human-machine-synergy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net/tanks/amx-10-rc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github.io/tanks/alvt.html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/agds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github.io/tanks.html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net/steam-news/heat-wrapped-2025-in-review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92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66</v>
      </c>
      <c r="H7" s="10">
        <f>COUNTIF(C:C,"NOT INDEXED")
</f>
        <v>0</v>
      </c>
      <c r="I7" s="10">
        <f>COUNTIF(C:C,"INDEXED")
</f>
        <v>215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249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249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7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14" t="s">
        <v>259</v>
      </c>
      <c r="B243" s="6" t="s">
        <v>8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10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1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9</v>
      </c>
      <c r="E266" s="6" t="s">
        <v>10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9</v>
      </c>
      <c r="E274" s="6" t="s">
        <v>10</v>
      </c>
      <c r="F274" s="2"/>
      <c r="G274" s="2"/>
      <c r="H274" s="2"/>
      <c r="I274" s="2"/>
    </row>
    <row r="275">
      <c r="A275" s="5" t="s">
        <v>291</v>
      </c>
      <c r="B275" s="6" t="s">
        <v>8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7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8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7</v>
      </c>
      <c r="C283" s="6" t="s">
        <v>8</v>
      </c>
      <c r="D283" s="6" t="s">
        <v>15</v>
      </c>
      <c r="E283" s="6" t="s">
        <v>15</v>
      </c>
      <c r="F283" s="2"/>
      <c r="G283" s="2"/>
      <c r="H283" s="2"/>
      <c r="I283" s="2"/>
    </row>
    <row r="284">
      <c r="A284" s="5" t="s">
        <v>300</v>
      </c>
      <c r="B284" s="6" t="s">
        <v>40</v>
      </c>
      <c r="C284" s="6" t="s">
        <v>40</v>
      </c>
      <c r="D284" s="6" t="s">
        <v>40</v>
      </c>
      <c r="E284" s="6" t="s">
        <v>40</v>
      </c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  <row r="996">
      <c r="A996" s="16"/>
      <c r="B996" s="17"/>
      <c r="C996" s="17"/>
      <c r="D996" s="17"/>
      <c r="E996" s="17"/>
      <c r="F996" s="2"/>
      <c r="G996" s="2"/>
      <c r="H996" s="2"/>
      <c r="I996" s="2"/>
    </row>
  </sheetData>
  <autoFilter ref="$A$1:$E$996">
    <sortState ref="A1:E996">
      <sortCondition ref="A1:A996"/>
      <sortCondition ref="D1:D996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6">
      <formula1>"NOT INDEXED,NOT NEEDED,PENDING,INDEXED"</formula1>
    </dataValidation>
    <dataValidation type="list" allowBlank="1" showErrorMessage="1" sqref="D2:D996">
      <formula1>"NOT NEEDED,NOT HTTPS,UNKNOWN,HTTPS"</formula1>
    </dataValidation>
    <dataValidation type="list" allowBlank="1" showErrorMessage="1" sqref="E2:E99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  <hyperlink r:id="rId283" ref="A284"/>
  </hyperlinks>
  <drawing r:id="rId284"/>
</worksheet>
</file>