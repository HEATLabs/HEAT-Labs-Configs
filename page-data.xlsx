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<sst xmlns="http://schemas.openxmlformats.org/spreadsheetml/2006/main" count="1341" uniqueCount="282">
  <si>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</si>
  <si>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</si>
  <si>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</si>
  <si>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</si>
  <si>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</si>
  <si>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</si>
  <si>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</si>
  <si>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</si>
  <si>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</si>
  <si>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</si>
  <si>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</si>
  <si>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</si>
  <si>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</si>
  <si>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</si>
  <si>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https://heatlabs.net</t>
  </si>
  <si>
    <t>GOOGLE API STATUS</t>
  </si>
  <si>
    <t>https://heatlabs.net/agents</t>
  </si>
  <si>
    <t>UNKNOWN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</si>
  <si>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</si>
  <si>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</si>
  <si>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</si>
  <si>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</si>
  <si>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</si>
  <si>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</si>
  <si>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</si>
  <si>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</si>
  <si>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</si>
  <si>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</si>
  <si>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</si>
  <si>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</si>
  <si>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</si>
  <si>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</si>
  <si>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</si>
  <si>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</si>
  <si>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</si>
  <si>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</si>
  <si>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</si>
  <si>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</si>
  <si>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</si>
  <si>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</si>
  <si>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</si>
  <si>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</si>
  <si>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</si>
  <si>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</si>
  <si>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</si>
  <si>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</si>
  <si>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</si>
  <si>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</si>
  <si>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</si>
  <si>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</si>
  <si>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</si>
  <si>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</si>
  <si>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</si>
  <si>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</si>
  <si>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</si>
  <si>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</si>
  <si>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NOT NEEDED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</si>
  <si>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</si>
  <si>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</si>
  <si>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</si>
  <si>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</si>
  <si>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</si>
  <si>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</si>
  <si>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</si>
  <si>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</si>
  <si>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</si>
  <si>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</si>
  <si>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</si>
  <si>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</si>
  <si>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</si>
  <si>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</si>
  <si>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</si>
  <si>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</si>
  <si>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</si>
  <si>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</si>
  <si>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</si>
  <si>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</si>
  <si>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</si>
  <si>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</si>
  <si>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</si>
  <si>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</si>
  <si>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https://heatlabs.net/blog/exploring-animation-and-movement-desync</t>
  </si>
  <si>
    <t>https://heatlabs.net/blog/exploring-the-main-menu-garage</t>
  </si>
  <si>
    <t>https://heatlabs.net/blog/hunting-for-potential-hidden-servers</t>
  </si>
  <si>
    <t>https://heatlabs.net/blog/info-from-developers</t>
  </si>
  <si>
    <t>https://heatlabs.net/blog/mysterious-engine-picture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</si>
  <si>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</si>
  <si>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</si>
  <si>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</si>
  <si>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</si>
  <si>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https://heatlabs.net/blog/unlocking-the-camera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</si>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</sst>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6" TargetMode="External"/><Relationship Id="rId190" Type="http://schemas.openxmlformats.org/officeDocument/2006/relationships/hyperlink" Target="https://heatlabs.github.io/news/map-monday-5.html" TargetMode="External"/><Relationship Id="rId42" Type="http://schemas.openxmlformats.org/officeDocument/2006/relationships/hyperlink" Target="https://heatlabs.net/blog/easter-egg-friday-08" TargetMode="External"/><Relationship Id="rId41" Type="http://schemas.openxmlformats.org/officeDocument/2006/relationships/hyperlink" Target="https://heatlabs.net/blog/easter-egg-friday-07" TargetMode="External"/><Relationship Id="rId44" Type="http://schemas.openxmlformats.org/officeDocument/2006/relationships/hyperlink" Target="https://heatlabs.net/blog/easter-egg-friday-10" TargetMode="External"/><Relationship Id="rId194" Type="http://schemas.openxmlformats.org/officeDocument/2006/relationships/hyperlink" Target="https://heatlabs.github.io/news/new-agents-3.html" TargetMode="External"/><Relationship Id="rId43" Type="http://schemas.openxmlformats.org/officeDocument/2006/relationships/hyperlink" Target="https://heatlabs.net/blog/easter-egg-friday-09" TargetMode="External"/><Relationship Id="rId193" Type="http://schemas.openxmlformats.org/officeDocument/2006/relationships/hyperlink" Target="https://heatlabs.github.io/news/new-agents-2.html" TargetMode="External"/><Relationship Id="rId46" Type="http://schemas.openxmlformats.org/officeDocument/2006/relationships/hyperlink" Target="https://heatlabs.net/blog/easter-egg-friday-12" TargetMode="External"/><Relationship Id="rId192" Type="http://schemas.openxmlformats.org/officeDocument/2006/relationships/hyperlink" Target="https://heatlabs.github.io/news/new-agents-1.html" TargetMode="External"/><Relationship Id="rId45" Type="http://schemas.openxmlformats.org/officeDocument/2006/relationships/hyperlink" Target="https://heatlabs.net/blog/easter-egg-friday-11" TargetMode="External"/><Relationship Id="rId191" Type="http://schemas.openxmlformats.org/officeDocument/2006/relationships/hyperlink" Target="https://heatlabs.github.io/news/medals-explained.html" TargetMode="External"/><Relationship Id="rId48" Type="http://schemas.openxmlformats.org/officeDocument/2006/relationships/hyperlink" Target="https://heatlabs.github.io/blog/from-pcwstats-to-heat-labs.html" TargetMode="External"/><Relationship Id="rId187" Type="http://schemas.openxmlformats.org/officeDocument/2006/relationships/hyperlink" Target="https://heatlabs.github.io/news/map-monday-2.html" TargetMode="External"/><Relationship Id="rId47" Type="http://schemas.openxmlformats.org/officeDocument/2006/relationships/hyperlink" Target="https://heatlabs.net/blog/easter-egg-friday-13" TargetMode="External"/><Relationship Id="rId186" Type="http://schemas.openxmlformats.org/officeDocument/2006/relationships/hyperlink" Target="https://heatlabs.github.io/news/map-monday-1.html" TargetMode="External"/><Relationship Id="rId185" Type="http://schemas.openxmlformats.org/officeDocument/2006/relationships/hyperlink" Target="https://heatlabs.github.io/news/jager-wall-bug.html" TargetMode="External"/><Relationship Id="rId49" Type="http://schemas.openxmlformats.org/officeDocument/2006/relationships/hyperlink" Target="https://heatlabs.github.io/blog/heat-labs-application.html" TargetMode="External"/><Relationship Id="rId184" Type="http://schemas.openxmlformats.org/officeDocument/2006/relationships/hyperlink" Target="https://heatlabs.github.io/news/hitbox-monday-5.html" TargetMode="External"/><Relationship Id="rId189" Type="http://schemas.openxmlformats.org/officeDocument/2006/relationships/hyperlink" Target="https://heatlabs.github.io/news/map-monday-4.html" TargetMode="External"/><Relationship Id="rId188" Type="http://schemas.openxmlformats.org/officeDocument/2006/relationships/hyperlink" Target="https://heatlabs.github.io/news/map-monday-3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hitbox-monday-4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hitbox-monday-3.html" TargetMode="External"/><Relationship Id="rId35" Type="http://schemas.openxmlformats.org/officeDocument/2006/relationships/hyperlink" Target="https://heatlabs.net/blog/easter-egg-friday-01" TargetMode="External"/><Relationship Id="rId181" Type="http://schemas.openxmlformats.org/officeDocument/2006/relationships/hyperlink" Target="https://heatlabs.github.io/news/hitbox-monday-2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hitbox-monday-1.html" TargetMode="External"/><Relationship Id="rId37" Type="http://schemas.openxmlformats.org/officeDocument/2006/relationships/hyperlink" Target="https://heatlabs.net/blog/easter-egg-friday-03" TargetMode="External"/><Relationship Id="rId176" Type="http://schemas.openxmlformats.org/officeDocument/2006/relationships/hyperlink" Target="https://heatlabs.github.io/news/friendship-dam-sneak-peek-1.html" TargetMode="External"/><Relationship Id="rId36" Type="http://schemas.openxmlformats.org/officeDocument/2006/relationships/hyperlink" Target="https://heatlabs.net/blog/easter-egg-friday-02" TargetMode="External"/><Relationship Id="rId175" Type="http://schemas.openxmlformats.org/officeDocument/2006/relationships/hyperlink" Target="https://heatlabs.github.io/news/friendship-dam-concept-art-1.html" TargetMode="External"/><Relationship Id="rId39" Type="http://schemas.openxmlformats.org/officeDocument/2006/relationships/hyperlink" Target="https://heatlabs.net/blog/easter-egg-friday-05" TargetMode="External"/><Relationship Id="rId174" Type="http://schemas.openxmlformats.org/officeDocument/2006/relationships/hyperlink" Target="https://heatlabs.github.io/news/dev-questions-answers-narrative.html" TargetMode="External"/><Relationship Id="rId38" Type="http://schemas.openxmlformats.org/officeDocument/2006/relationships/hyperlink" Target="https://heatlabs.net/blog/easter-egg-friday-04" TargetMode="External"/><Relationship Id="rId173" Type="http://schemas.openxmlformats.org/officeDocument/2006/relationships/hyperlink" Target="https://heatlabs.github.io/news/dev-questions-answers-design.html" TargetMode="External"/><Relationship Id="rId179" Type="http://schemas.openxmlformats.org/officeDocument/2006/relationships/hyperlink" Target="https://heatlabs.github.io/news/happy-tanksgiving.html" TargetMode="External"/><Relationship Id="rId178" Type="http://schemas.openxmlformats.org/officeDocument/2006/relationships/hyperlink" Target="https://heatlabs.github.io/news/gun-dispersion-changes.html" TargetMode="External"/><Relationship Id="rId177" Type="http://schemas.openxmlformats.org/officeDocument/2006/relationships/hyperlink" Target="https://heatlabs.github.io/news/friendship-dam-sneak-peek-2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news/plant-defuse-mode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news/nord-oko-concept-art-3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news/nord-oko-concept-art-2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nord-oko-concept-art-1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news/progression-and-social-changes.html" TargetMode="External"/><Relationship Id="rId84" Type="http://schemas.openxmlformats.org/officeDocument/2006/relationships/hyperlink" Target="https://heatlabs.github.io/legal.html" TargetMode="External"/><Relationship Id="rId83" Type="http://schemas.openxmlformats.org/officeDocument/2006/relationships/hyperlink" Target="https://heatlabs.github.io/guides/tank-guides/xm1-v-build-guide.html" TargetMode="External"/><Relationship Id="rId86" Type="http://schemas.openxmlformats.org/officeDocument/2006/relationships/hyperlink" Target="https://heatlabs.github.io/legal/privacy-policy.html" TargetMode="External"/><Relationship Id="rId85" Type="http://schemas.openxmlformats.org/officeDocument/2006/relationships/hyperlink" Target="https://heatlabs.github.io/legal/code-of-conduct.html" TargetMode="External"/><Relationship Id="rId88" Type="http://schemas.openxmlformats.org/officeDocument/2006/relationships/hyperlink" Target="https://heatlabs.github.io/legal/project-license.html" TargetMode="External"/><Relationship Id="rId150" Type="http://schemas.openxmlformats.org/officeDocument/2006/relationships/hyperlink" Target="https://heatlabs.github.io/news/alpha-1-valentines-day.html" TargetMode="External"/><Relationship Id="rId87" Type="http://schemas.openxmlformats.org/officeDocument/2006/relationships/hyperlink" Target="https://heatlabs.github.io/legal/project-contributions.html" TargetMode="External"/><Relationship Id="rId89" Type="http://schemas.openxmlformats.org/officeDocument/2006/relationships/hyperlink" Target="https://heatlabs.github.io/legal/project-security.html" TargetMode="External"/><Relationship Id="rId80" Type="http://schemas.openxmlformats.org/officeDocument/2006/relationships/hyperlink" Target="https://heatlabs.github.io/guides/map-guides.html" TargetMode="External"/><Relationship Id="rId82" Type="http://schemas.openxmlformats.org/officeDocument/2006/relationships/hyperlink" Target="https://heatlabs.github.io/guides/tank-guides/bat-4m-basic-guide.html" TargetMode="External"/><Relationship Id="rId81" Type="http://schemas.openxmlformats.org/officeDocument/2006/relationships/hyperlink" Target="https://heatlabs.github.io/guides/tank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9-hstvl-update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1-patch-8-delayed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1-patch-4-quality-of-life.html" TargetMode="External"/><Relationship Id="rId264" Type="http://schemas.openxmlformats.org/officeDocument/2006/relationships/hyperlink" Target="https://heatlabs.net/" TargetMode="External"/><Relationship Id="rId142" Type="http://schemas.openxmlformats.org/officeDocument/2006/relationships/hyperlink" Target="https://heatlabs.github.io/news/alpha-1-patch-3-quick-match-updates.html" TargetMode="External"/><Relationship Id="rId263" Type="http://schemas.openxmlformats.org/officeDocument/2006/relationships/hyperlink" Target="https://heatlabs.net/" TargetMode="External"/><Relationship Id="rId141" Type="http://schemas.openxmlformats.org/officeDocument/2006/relationships/hyperlink" Target="https://heatlabs.github.io/news/alpha-1-patch-11-post-tournament-qol-improvements.html" TargetMode="External"/><Relationship Id="rId262" Type="http://schemas.openxmlformats.org/officeDocument/2006/relationships/hyperlink" Target="https://heatlabs.net/" TargetMode="External"/><Relationship Id="rId140" Type="http://schemas.openxmlformats.org/officeDocument/2006/relationships/hyperlink" Target="https://heatlabs.github.io/news/alpha-1-patch-10-tournament-preparation-improvements.html" TargetMode="External"/><Relationship Id="rId261" Type="http://schemas.openxmlformats.org/officeDocument/2006/relationships/hyperlink" Target="https://mods.heatlabs.net/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1-patch-8-akira-updat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1-patch-7-raketa-updat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1-patch-6-ray-updates.html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1-patch-5-fantome-updates.html" TargetMode="External"/><Relationship Id="rId265" Type="http://schemas.openxmlformats.org/officeDocument/2006/relationships/drawing" Target="../drawings/drawing1.xm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ug-hunting/titan-dummies-respawn-glitch.html" TargetMode="External"/><Relationship Id="rId75" Type="http://schemas.openxmlformats.org/officeDocument/2006/relationships/hyperlink" Target="https://heatlabs.github.io/bug-hunting/wierd-pattern-images.html" TargetMode="External"/><Relationship Id="rId74" Type="http://schemas.openxmlformats.org/officeDocument/2006/relationships/hyperlink" Target="https://heatlabs.github.io/bug-hunting/who-is-pcw-bug-hunters.html" TargetMode="External"/><Relationship Id="rId77" Type="http://schemas.openxmlformats.org/officeDocument/2006/relationships/hyperlink" Target="https://heatlabs.github.io/check-compare.html" TargetMode="External"/><Relationship Id="rId260" Type="http://schemas.openxmlformats.org/officeDocument/2006/relationships/hyperlink" Target="https://heatlabs.github.io/agents/anansi.html" TargetMode="External"/><Relationship Id="rId76" Type="http://schemas.openxmlformats.org/officeDocument/2006/relationships/hyperlink" Target="https://heatlabs.github.io/builds.html" TargetMode="External"/><Relationship Id="rId79" Type="http://schemas.openxmlformats.org/officeDocument/2006/relationships/hyperlink" Target="https://heatlabs.github.io/guides/general-guides.html" TargetMode="External"/><Relationship Id="rId78" Type="http://schemas.openxmlformats.org/officeDocument/2006/relationships/hyperlink" Target="https://heatlabs.github.io/guides.html" TargetMode="External"/><Relationship Id="rId71" Type="http://schemas.openxmlformats.org/officeDocument/2006/relationships/hyperlink" Target="https://heatlabs.github.io/bug-hunting/the-three-badges.html" TargetMode="External"/><Relationship Id="rId70" Type="http://schemas.openxmlformats.org/officeDocument/2006/relationships/hyperlink" Target="https://heatlabs.github.io/bug-hunting/tank-module-locations.html" TargetMode="External"/><Relationship Id="rId139" Type="http://schemas.openxmlformats.org/officeDocument/2006/relationships/hyperlink" Target="https://heatlabs.github.io/news/alpha-1-facts-figures.html" TargetMode="External"/><Relationship Id="rId138" Type="http://schemas.openxmlformats.org/officeDocument/2006/relationships/hyperlink" Target="https://heatlabs.github.io/news/alpha-1-3-days-to-go.html" TargetMode="External"/><Relationship Id="rId259" Type="http://schemas.openxmlformats.org/officeDocument/2006/relationships/hyperlink" Target="https://heatlabs.github.io/tournaments/open-alpha-2-tournament.html" TargetMode="External"/><Relationship Id="rId137" Type="http://schemas.openxmlformats.org/officeDocument/2006/relationships/hyperlink" Target="https://heatlabs.github.io/news/alpha-1-2-days-to-go.html" TargetMode="External"/><Relationship Id="rId258" Type="http://schemas.openxmlformats.org/officeDocument/2006/relationships/hyperlink" Target="https://heatlabs.github.io/tournaments/open-alpha-1-tournament.html" TargetMode="External"/><Relationship Id="rId132" Type="http://schemas.openxmlformats.org/officeDocument/2006/relationships/hyperlink" Target="https://heatlabs.github.io/news.html" TargetMode="External"/><Relationship Id="rId253" Type="http://schemas.openxmlformats.org/officeDocument/2006/relationships/hyperlink" Target="https://heatlabs.github.io/tanks/xm1-90.html" TargetMode="External"/><Relationship Id="rId131" Type="http://schemas.openxmlformats.org/officeDocument/2006/relationships/hyperlink" Target="https://heatlabs.github.io/maps/zenith.html" TargetMode="External"/><Relationship Id="rId252" Type="http://schemas.openxmlformats.org/officeDocument/2006/relationships/hyperlink" Target="https://heatlabs.github.io/tanks/t-72b.html" TargetMode="External"/><Relationship Id="rId130" Type="http://schemas.openxmlformats.org/officeDocument/2006/relationships/hyperlink" Target="https://heatlabs.github.io/maps/tajbeg.html" TargetMode="External"/><Relationship Id="rId251" Type="http://schemas.openxmlformats.org/officeDocument/2006/relationships/hyperlink" Target="https://heatlabs.github.io/tanks/t-72au.html" TargetMode="External"/><Relationship Id="rId250" Type="http://schemas.openxmlformats.org/officeDocument/2006/relationships/hyperlink" Target="https://heatlabs.github.io/tanks/t-64a.html" TargetMode="External"/><Relationship Id="rId136" Type="http://schemas.openxmlformats.org/officeDocument/2006/relationships/hyperlink" Target="https://heatlabs.github.io/news/alpha-1-1-day-to-go.html" TargetMode="External"/><Relationship Id="rId257" Type="http://schemas.openxmlformats.org/officeDocument/2006/relationships/hyperlink" Target="https://heatlabs.github.io/tournaments.html" TargetMode="External"/><Relationship Id="rId135" Type="http://schemas.openxmlformats.org/officeDocument/2006/relationships/hyperlink" Target="https://heatlabs.github.io/news/agent-spotlight-kent.html" TargetMode="External"/><Relationship Id="rId256" Type="http://schemas.openxmlformats.org/officeDocument/2006/relationships/hyperlink" Target="https://heatlabs.github.io/tanks/xm808-twister.html" TargetMode="External"/><Relationship Id="rId134" Type="http://schemas.openxmlformats.org/officeDocument/2006/relationships/hyperlink" Target="https://heatlabs.github.io/news/agent-spotlight-fantome.html" TargetMode="External"/><Relationship Id="rId255" Type="http://schemas.openxmlformats.org/officeDocument/2006/relationships/hyperlink" Target="https://heatlabs.github.io/tanks/xm551.html" TargetMode="External"/><Relationship Id="rId133" Type="http://schemas.openxmlformats.org/officeDocument/2006/relationships/hyperlink" Target="https://heatlabs.github.io/news/agent-spotlight-akira.html" TargetMode="External"/><Relationship Id="rId254" Type="http://schemas.openxmlformats.org/officeDocument/2006/relationships/hyperlink" Target="https://heatlabs.github.io/tanks/xm1-v.html" TargetMode="External"/><Relationship Id="rId62" Type="http://schemas.openxmlformats.org/officeDocument/2006/relationships/hyperlink" Target="https://heatlabs.github.io/bug-hunting/developer-guide-images.html" TargetMode="External"/><Relationship Id="rId61" Type="http://schemas.openxmlformats.org/officeDocument/2006/relationships/hyperlink" Target="https://heatlabs.github.io/bug-hunting/damage-calculation.html" TargetMode="External"/><Relationship Id="rId64" Type="http://schemas.openxmlformats.org/officeDocument/2006/relationships/hyperlink" Target="https://heatlabs.github.io/bug-hunting/exploring-animation-and-movement-desync.html" TargetMode="External"/><Relationship Id="rId63" Type="http://schemas.openxmlformats.org/officeDocument/2006/relationships/hyperlink" Target="https://heatlabs.github.io/bug-hunting/discovery-of-corex.html" TargetMode="External"/><Relationship Id="rId66" Type="http://schemas.openxmlformats.org/officeDocument/2006/relationships/hyperlink" Target="https://heatlabs.github.io/bug-hunting/hunting-for-potential-hidden-servers.html" TargetMode="External"/><Relationship Id="rId172" Type="http://schemas.openxmlformats.org/officeDocument/2006/relationships/hyperlink" Target="https://heatlabs.github.io/news/desktop-mobile-backgrounds.html" TargetMode="External"/><Relationship Id="rId65" Type="http://schemas.openxmlformats.org/officeDocument/2006/relationships/hyperlink" Target="https://heatlabs.github.io/bug-hunting/exploring-the-main-menu-garage.html" TargetMode="External"/><Relationship Id="rId171" Type="http://schemas.openxmlformats.org/officeDocument/2006/relationships/hyperlink" Target="https://heatlabs.github.io/news/content-creator-impressions.html" TargetMode="External"/><Relationship Id="rId68" Type="http://schemas.openxmlformats.org/officeDocument/2006/relationships/hyperlink" Target="https://heatlabs.github.io/bug-hunting/mysterious-engine-picture.html" TargetMode="External"/><Relationship Id="rId170" Type="http://schemas.openxmlformats.org/officeDocument/2006/relationships/hyperlink" Target="https://heatlabs.github.io/news/concept-art-2.html" TargetMode="External"/><Relationship Id="rId67" Type="http://schemas.openxmlformats.org/officeDocument/2006/relationships/hyperlink" Target="https://heatlabs.github.io/bug-hunting/info-from-developers.html" TargetMode="External"/><Relationship Id="rId60" Type="http://schemas.openxmlformats.org/officeDocument/2006/relationships/hyperlink" Target="https://heatlabs.github.io/bug-hunting/alpha-2-fuel-crit-multiplier.html" TargetMode="External"/><Relationship Id="rId165" Type="http://schemas.openxmlformats.org/officeDocument/2006/relationships/hyperlink" Target="https://heatlabs.github.io/news/beirut-concept-art.html" TargetMode="External"/><Relationship Id="rId69" Type="http://schemas.openxmlformats.org/officeDocument/2006/relationships/hyperlink" Target="https://heatlabs.github.io/bug-hunting/potential-campaign-mode.html" TargetMode="External"/><Relationship Id="rId164" Type="http://schemas.openxmlformats.org/officeDocument/2006/relationships/hyperlink" Target="https://heatlabs.github.io/news/balanced-and-reworked-maps.html" TargetMode="External"/><Relationship Id="rId163" Type="http://schemas.openxmlformats.org/officeDocument/2006/relationships/hyperlink" Target="https://heatlabs.github.io/news/alpha-2-valentines-day.html" TargetMode="External"/><Relationship Id="rId162" Type="http://schemas.openxmlformats.org/officeDocument/2006/relationships/hyperlink" Target="https://heatlabs.github.io/news/alpha-2-patch-9-balancing-tweaks.html" TargetMode="External"/><Relationship Id="rId169" Type="http://schemas.openxmlformats.org/officeDocument/2006/relationships/hyperlink" Target="https://heatlabs.github.io/news/concept-art-1.html" TargetMode="External"/><Relationship Id="rId168" Type="http://schemas.openxmlformats.org/officeDocument/2006/relationships/hyperlink" Target="https://heatlabs.github.io/news/community-managers-reintroduction.html" TargetMode="External"/><Relationship Id="rId167" Type="http://schemas.openxmlformats.org/officeDocument/2006/relationships/hyperlink" Target="https://heatlabs.github.io/news/blossom-crash-concept-art-2.html" TargetMode="External"/><Relationship Id="rId166" Type="http://schemas.openxmlformats.org/officeDocument/2006/relationships/hyperlink" Target="https://heatlabs.github.io/news/blossom-crash-concept-art-1.html" TargetMode="External"/><Relationship Id="rId51" Type="http://schemas.openxmlformats.org/officeDocument/2006/relationships/hyperlink" Target="https://heatlabs.github.io/blog/meet-the-team-esmatty.html" TargetMode="External"/><Relationship Id="rId50" Type="http://schemas.openxmlformats.org/officeDocument/2006/relationships/hyperlink" Target="https://heatlabs.net/blog/tournament-feature-blog" TargetMode="External"/><Relationship Id="rId53" Type="http://schemas.openxmlformats.org/officeDocument/2006/relationships/hyperlink" Target="https://heatlabs.github.io/blog/meet-the-team-sinewave.html" TargetMode="External"/><Relationship Id="rId52" Type="http://schemas.openxmlformats.org/officeDocument/2006/relationships/hyperlink" Target="https://heatlabs.github.io/blog/meet-the-team-shockwave.html" TargetMode="External"/><Relationship Id="rId55" Type="http://schemas.openxmlformats.org/officeDocument/2006/relationships/hyperlink" Target="https://heatlabs.net/blog/easter-egg-friday-03" TargetMode="External"/><Relationship Id="rId161" Type="http://schemas.openxmlformats.org/officeDocument/2006/relationships/hyperlink" Target="https://heatlabs.github.io/news/alpha-2-patch-8-balancing-changes.html" TargetMode="External"/><Relationship Id="rId54" Type="http://schemas.openxmlformats.org/officeDocument/2006/relationships/hyperlink" Target="https://heatlabs.github.io/blog/meet-the-team-ven0m.html" TargetMode="External"/><Relationship Id="rId160" Type="http://schemas.openxmlformats.org/officeDocument/2006/relationships/hyperlink" Target="https://heatlabs.github.io/news/alpha-2-patch-7-bradley-is-here.html" TargetMode="External"/><Relationship Id="rId57" Type="http://schemas.openxmlformats.org/officeDocument/2006/relationships/hyperlink" Target="https://heatlabs.github.io/blog/tournament-feature-blog.html" TargetMode="External"/><Relationship Id="rId56" Type="http://schemas.openxmlformats.org/officeDocument/2006/relationships/hyperlink" Target="https://heatlabs.github.io/blog//new-playground-features.html" TargetMode="External"/><Relationship Id="rId159" Type="http://schemas.openxmlformats.org/officeDocument/2006/relationships/hyperlink" Target="https://heatlabs.github.io/news/alpha-2-patch-6-important-changes.html" TargetMode="External"/><Relationship Id="rId59" Type="http://schemas.openxmlformats.org/officeDocument/2006/relationships/hyperlink" Target="https://heatlabs.github.io/blog/website-plans-and-mission.html" TargetMode="External"/><Relationship Id="rId154" Type="http://schemas.openxmlformats.org/officeDocument/2006/relationships/hyperlink" Target="https://heatlabs.github.io/news/alpha-2-patch-1-first-patch.html" TargetMode="External"/><Relationship Id="rId58" Type="http://schemas.openxmlformats.org/officeDocument/2006/relationships/hyperlink" Target="https://heatlabs.github.io/blog/views-api-outage.html" TargetMode="External"/><Relationship Id="rId153" Type="http://schemas.openxmlformats.org/officeDocument/2006/relationships/hyperlink" Target="https://heatlabs.github.io/news/alpha-2-3-days-to-go.html" TargetMode="External"/><Relationship Id="rId152" Type="http://schemas.openxmlformats.org/officeDocument/2006/relationships/hyperlink" Target="https://heatlabs.github.io/news/alpha-2-2-days-to-go.html" TargetMode="External"/><Relationship Id="rId151" Type="http://schemas.openxmlformats.org/officeDocument/2006/relationships/hyperlink" Target="https://heatlabs.github.io/news/alpha-2-1-day-to-go.html" TargetMode="External"/><Relationship Id="rId158" Type="http://schemas.openxmlformats.org/officeDocument/2006/relationships/hyperlink" Target="https://heatlabs.github.io/news/alpha-2-patch-5-small-improvements.html" TargetMode="External"/><Relationship Id="rId157" Type="http://schemas.openxmlformats.org/officeDocument/2006/relationships/hyperlink" Target="https://heatlabs.github.io/news/alpha-2-patch-4-balance-improvements.html" TargetMode="External"/><Relationship Id="rId156" Type="http://schemas.openxmlformats.org/officeDocument/2006/relationships/hyperlink" Target="https://heatlabs.github.io/news/alpha-2-patch-3-hounds-become-the-hunted.html" TargetMode="External"/><Relationship Id="rId155" Type="http://schemas.openxmlformats.org/officeDocument/2006/relationships/hyperlink" Target="https://heatlabs.github.io/news/alpha-2-patch-2-client-server-update.html" TargetMode="External"/><Relationship Id="rId107" Type="http://schemas.openxmlformats.org/officeDocument/2006/relationships/hyperlink" Target="https://heatlabs.github.io/maps/dolcegusta.html" TargetMode="External"/><Relationship Id="rId228" Type="http://schemas.openxmlformats.org/officeDocument/2006/relationships/hyperlink" Target="https://heatlabs.github.io/tanks/agds.html" TargetMode="External"/><Relationship Id="rId106" Type="http://schemas.openxmlformats.org/officeDocument/2006/relationships/hyperlink" Target="https://heatlabs.github.io/maps/deserted.html" TargetMode="External"/><Relationship Id="rId227" Type="http://schemas.openxmlformats.org/officeDocument/2006/relationships/hyperlink" Target="https://heatlabs.github.io/tanks.html" TargetMode="External"/><Relationship Id="rId105" Type="http://schemas.openxmlformats.org/officeDocument/2006/relationships/hyperlink" Target="https://heatlabs.github.io/maps/desert-city.html" TargetMode="External"/><Relationship Id="rId226" Type="http://schemas.openxmlformats.org/officeDocument/2006/relationships/hyperlink" Target="https://heatlabs.github.io/steam-news/join-the-lodestar-program.html" TargetMode="External"/><Relationship Id="rId104" Type="http://schemas.openxmlformats.org/officeDocument/2006/relationships/hyperlink" Target="https://heatlabs.github.io/maps/deadly-fields.html" TargetMode="External"/><Relationship Id="rId225" Type="http://schemas.openxmlformats.org/officeDocument/2006/relationships/hyperlink" Target="https://heatlabs.github.io/steam-news/join-the-lodestar-program.html" TargetMode="External"/><Relationship Id="rId109" Type="http://schemas.openxmlformats.org/officeDocument/2006/relationships/hyperlink" Target="https://heatlabs.github.io/maps/evergreen.html" TargetMode="External"/><Relationship Id="rId108" Type="http://schemas.openxmlformats.org/officeDocument/2006/relationships/hyperlink" Target="https://heatlabs.github.io/maps/duga.html" TargetMode="External"/><Relationship Id="rId229" Type="http://schemas.openxmlformats.org/officeDocument/2006/relationships/hyperlink" Target="https://heatlabs.github.io/tanks/alvt.html" TargetMode="External"/><Relationship Id="rId220" Type="http://schemas.openxmlformats.org/officeDocument/2006/relationships/hyperlink" Target="https://heatlabs.github.io/resources/credits.html" TargetMode="External"/><Relationship Id="rId103" Type="http://schemas.openxmlformats.org/officeDocument/2006/relationships/hyperlink" Target="https://heatlabs.github.io/maps/crossroads.html" TargetMode="External"/><Relationship Id="rId224" Type="http://schemas.openxmlformats.org/officeDocument/2006/relationships/hyperlink" Target="https://heatlabs.github.io/steam-news/join-the-lodestar-program.html" TargetMode="External"/><Relationship Id="rId102" Type="http://schemas.openxmlformats.org/officeDocument/2006/relationships/hyperlink" Target="https://heatlabs.github.io/maps/critical-harbor.html" TargetMode="External"/><Relationship Id="rId223" Type="http://schemas.openxmlformats.org/officeDocument/2006/relationships/hyperlink" Target="https://heatlabs.github.io/resources/support-us.html" TargetMode="External"/><Relationship Id="rId101" Type="http://schemas.openxmlformats.org/officeDocument/2006/relationships/hyperlink" Target="https://heatlabs.github.io/maps/comms.html" TargetMode="External"/><Relationship Id="rId222" Type="http://schemas.openxmlformats.org/officeDocument/2006/relationships/hyperlink" Target="https://heatlabs.github.io/resources/get-involved.html" TargetMode="External"/><Relationship Id="rId100" Type="http://schemas.openxmlformats.org/officeDocument/2006/relationships/hyperlink" Target="https://heatlabs.github.io/maps/classified.html" TargetMode="External"/><Relationship Id="rId221" Type="http://schemas.openxmlformats.org/officeDocument/2006/relationships/hyperlink" Target="https://heatlabs.github.io/resources/frequent-questions.html" TargetMode="External"/><Relationship Id="rId217" Type="http://schemas.openxmlformats.org/officeDocument/2006/relationships/hyperlink" Target="https://heatlabs.github.io/playground/configurator.html" TargetMode="External"/><Relationship Id="rId216" Type="http://schemas.openxmlformats.org/officeDocument/2006/relationships/hyperlink" Target="https://heatlabs.github.io/playground/tierlist.html" TargetMode="External"/><Relationship Id="rId215" Type="http://schemas.openxmlformats.org/officeDocument/2006/relationships/hyperlink" Target="https://heatlabs.github.io/strategy-planner.html" TargetMode="External"/><Relationship Id="rId214" Type="http://schemas.openxmlformats.org/officeDocument/2006/relationships/hyperlink" Target="https://heatlabs.github.io/playground/soundboard.html" TargetMode="External"/><Relationship Id="rId219" Type="http://schemas.openxmlformats.org/officeDocument/2006/relationships/hyperlink" Target="https://heatlabs.github.io/resources/contact-us.html" TargetMode="External"/><Relationship Id="rId218" Type="http://schemas.openxmlformats.org/officeDocument/2006/relationships/hyperlink" Target="https://heatlabs.github.io/resources/about-us.html" TargetMode="External"/><Relationship Id="rId213" Type="http://schemas.openxmlformats.org/officeDocument/2006/relationships/hyperlink" Target="https://heatlabs.net/playground/roulette" TargetMode="External"/><Relationship Id="rId212" Type="http://schemas.openxmlformats.org/officeDocument/2006/relationships/hyperlink" Target="https://heatlabs.github.io/playground/heat-labs-app.html" TargetMode="External"/><Relationship Id="rId211" Type="http://schemas.openxmlformats.org/officeDocument/2006/relationships/hyperlink" Target="https://heatlabs.github.io/playground/configurator.html" TargetMode="External"/><Relationship Id="rId210" Type="http://schemas.openxmlformats.org/officeDocument/2006/relationships/hyperlink" Target="https://heatlabs.github.io/playground/configurator.html" TargetMode="External"/><Relationship Id="rId129" Type="http://schemas.openxmlformats.org/officeDocument/2006/relationships/hyperlink" Target="https://heatlabs.github.io/maps/surveillance.html" TargetMode="External"/><Relationship Id="rId128" Type="http://schemas.openxmlformats.org/officeDocument/2006/relationships/hyperlink" Target="https://heatlabs.github.io/maps/sunstroke.html" TargetMode="External"/><Relationship Id="rId249" Type="http://schemas.openxmlformats.org/officeDocument/2006/relationships/hyperlink" Target="https://heatlabs.github.io/tanks/t-62ms.html" TargetMode="External"/><Relationship Id="rId127" Type="http://schemas.openxmlformats.org/officeDocument/2006/relationships/hyperlink" Target="https://heatlabs.github.io/maps/sundered-city.html" TargetMode="External"/><Relationship Id="rId248" Type="http://schemas.openxmlformats.org/officeDocument/2006/relationships/hyperlink" Target="https://heatlabs.github.io/tanks/t-62av.html" TargetMode="External"/><Relationship Id="rId126" Type="http://schemas.openxmlformats.org/officeDocument/2006/relationships/hyperlink" Target="https://heatlabs.github.io/maps/spillway.html" TargetMode="External"/><Relationship Id="rId247" Type="http://schemas.openxmlformats.org/officeDocument/2006/relationships/hyperlink" Target="https://heatlabs.github.io/tanks/t-55-enigma.html" TargetMode="External"/><Relationship Id="rId121" Type="http://schemas.openxmlformats.org/officeDocument/2006/relationships/hyperlink" Target="https://heatlabs.github.io/maps/port.html" TargetMode="External"/><Relationship Id="rId242" Type="http://schemas.openxmlformats.org/officeDocument/2006/relationships/hyperlink" Target="https://heatlabs.github.io/tanks/m60a3e2-bot.html" TargetMode="External"/><Relationship Id="rId120" Type="http://schemas.openxmlformats.org/officeDocument/2006/relationships/hyperlink" Target="https://heatlabs.github.io/maps/nord-oko.html" TargetMode="External"/><Relationship Id="rId241" Type="http://schemas.openxmlformats.org/officeDocument/2006/relationships/hyperlink" Target="https://heatlabs.github.io/tanks/m60a3e2.html" TargetMode="External"/><Relationship Id="rId240" Type="http://schemas.openxmlformats.org/officeDocument/2006/relationships/hyperlink" Target="https://heatlabs.github.io/tanks/m3a1-bradley.html" TargetMode="External"/><Relationship Id="rId125" Type="http://schemas.openxmlformats.org/officeDocument/2006/relationships/hyperlink" Target="https://heatlabs.github.io/maps/scarred-city.html" TargetMode="External"/><Relationship Id="rId246" Type="http://schemas.openxmlformats.org/officeDocument/2006/relationships/hyperlink" Target="https://heatlabs.github.io/tanks/ptz89c.html" TargetMode="External"/><Relationship Id="rId124" Type="http://schemas.openxmlformats.org/officeDocument/2006/relationships/hyperlink" Target="https://heatlabs.github.io/maps/ring-of-fury.html" TargetMode="External"/><Relationship Id="rId245" Type="http://schemas.openxmlformats.org/officeDocument/2006/relationships/hyperlink" Target="https://heatlabs.github.io/tanks/object-287.html" TargetMode="External"/><Relationship Id="rId123" Type="http://schemas.openxmlformats.org/officeDocument/2006/relationships/hyperlink" Target="https://heatlabs.github.io/maps/red-alert.html" TargetMode="External"/><Relationship Id="rId244" Type="http://schemas.openxmlformats.org/officeDocument/2006/relationships/hyperlink" Target="https://heatlabs.github.io/tanks/object-279.html" TargetMode="External"/><Relationship Id="rId122" Type="http://schemas.openxmlformats.org/officeDocument/2006/relationships/hyperlink" Target="https://heatlabs.github.io/maps/project-phoenix.html" TargetMode="External"/><Relationship Id="rId243" Type="http://schemas.openxmlformats.org/officeDocument/2006/relationships/hyperlink" Target="https://heatlabs.github.io/tanks/m60e2.html" TargetMode="External"/><Relationship Id="rId95" Type="http://schemas.openxmlformats.org/officeDocument/2006/relationships/hyperlink" Target="https://heatlabs.github.io/maps/avalanche.html" TargetMode="External"/><Relationship Id="rId94" Type="http://schemas.openxmlformats.org/officeDocument/2006/relationships/hyperlink" Target="https://heatlabs.github.io/maps/aircraft-carrier.html" TargetMode="External"/><Relationship Id="rId97" Type="http://schemas.openxmlformats.org/officeDocument/2006/relationships/hyperlink" Target="https://heatlabs.github.io/maps/ballistic-range.html" TargetMode="External"/><Relationship Id="rId96" Type="http://schemas.openxmlformats.org/officeDocument/2006/relationships/hyperlink" Target="https://heatlabs.github.io/maps/baikonur.html" TargetMode="External"/><Relationship Id="rId99" Type="http://schemas.openxmlformats.org/officeDocument/2006/relationships/hyperlink" Target="https://heatlabs.github.io/maps/citadel.html" TargetMode="External"/><Relationship Id="rId98" Type="http://schemas.openxmlformats.org/officeDocument/2006/relationships/hyperlink" Target="https://heatlabs.github.io/maps/blossom-crash.html" TargetMode="External"/><Relationship Id="rId91" Type="http://schemas.openxmlformats.org/officeDocument/2006/relationships/hyperlink" Target="https://heatlabs.github.io/maps.html" TargetMode="External"/><Relationship Id="rId90" Type="http://schemas.openxmlformats.org/officeDocument/2006/relationships/hyperlink" Target="https://heatlabs.github.io/legal/terms-of-service.html" TargetMode="External"/><Relationship Id="rId93" Type="http://schemas.openxmlformats.org/officeDocument/2006/relationships/hyperlink" Target="https://heatlabs.github.io/maps/afghanistan-2.html" TargetMode="External"/><Relationship Id="rId92" Type="http://schemas.openxmlformats.org/officeDocument/2006/relationships/hyperlink" Target="https://heatlabs.github.io/maps/afghanistan.html" TargetMode="External"/><Relationship Id="rId118" Type="http://schemas.openxmlformats.org/officeDocument/2006/relationships/hyperlink" Target="https://heatlabs.github.io/maps/moonshot.html" TargetMode="External"/><Relationship Id="rId239" Type="http://schemas.openxmlformats.org/officeDocument/2006/relationships/hyperlink" Target="https://heatlabs.github.io/tanks/m1e1.html" TargetMode="External"/><Relationship Id="rId117" Type="http://schemas.openxmlformats.org/officeDocument/2006/relationships/hyperlink" Target="https://heatlabs.github.io/maps/military-training.html" TargetMode="External"/><Relationship Id="rId238" Type="http://schemas.openxmlformats.org/officeDocument/2006/relationships/hyperlink" Target="https://heatlabs.github.io/tanks/m1-railgun.html" TargetMode="External"/><Relationship Id="rId116" Type="http://schemas.openxmlformats.org/officeDocument/2006/relationships/hyperlink" Target="https://heatlabs.github.io/maps/kerak.html" TargetMode="External"/><Relationship Id="rId237" Type="http://schemas.openxmlformats.org/officeDocument/2006/relationships/hyperlink" Target="https://heatlabs.github.io/tanks/leopard-2k14.html" TargetMode="External"/><Relationship Id="rId115" Type="http://schemas.openxmlformats.org/officeDocument/2006/relationships/hyperlink" Target="https://heatlabs.github.io/maps/inferno.html" TargetMode="External"/><Relationship Id="rId236" Type="http://schemas.openxmlformats.org/officeDocument/2006/relationships/hyperlink" Target="https://heatlabs.github.io/tanks/leopard-2fk.html" TargetMode="External"/><Relationship Id="rId119" Type="http://schemas.openxmlformats.org/officeDocument/2006/relationships/hyperlink" Target="https://heatlabs.github.io/maps/nexus-dam.html" TargetMode="External"/><Relationship Id="rId110" Type="http://schemas.openxmlformats.org/officeDocument/2006/relationships/hyperlink" Target="https://heatlabs.github.io/maps/fatal-acres.html" TargetMode="External"/><Relationship Id="rId231" Type="http://schemas.openxmlformats.org/officeDocument/2006/relationships/hyperlink" Target="https://heatlabs.github.io/tanks/bat-4m.html" TargetMode="External"/><Relationship Id="rId230" Type="http://schemas.openxmlformats.org/officeDocument/2006/relationships/hyperlink" Target="https://heatlabs.net/tanks/amx-10-rc" TargetMode="External"/><Relationship Id="rId114" Type="http://schemas.openxmlformats.org/officeDocument/2006/relationships/hyperlink" Target="https://heatlabs.github.io/maps/hydro.html" TargetMode="External"/><Relationship Id="rId235" Type="http://schemas.openxmlformats.org/officeDocument/2006/relationships/hyperlink" Target="https://heatlabs.github.io/tanks/leopard-1a6a1.html" TargetMode="External"/><Relationship Id="rId113" Type="http://schemas.openxmlformats.org/officeDocument/2006/relationships/hyperlink" Target="https://heatlabs.github.io/maps/height-911tb.html" TargetMode="External"/><Relationship Id="rId234" Type="http://schemas.openxmlformats.org/officeDocument/2006/relationships/hyperlink" Target="https://heatlabs.github.io/tanks/leopard-1a1b.html" TargetMode="External"/><Relationship Id="rId112" Type="http://schemas.openxmlformats.org/officeDocument/2006/relationships/hyperlink" Target="https://heatlabs.github.io/maps/height-911rs.html" TargetMode="External"/><Relationship Id="rId233" Type="http://schemas.openxmlformats.org/officeDocument/2006/relationships/hyperlink" Target="https://heatlabs.github.io/tanks/hstv-l.html" TargetMode="External"/><Relationship Id="rId111" Type="http://schemas.openxmlformats.org/officeDocument/2006/relationships/hyperlink" Target="https://heatlabs.github.io/maps/harvest.html" TargetMode="External"/><Relationship Id="rId232" Type="http://schemas.openxmlformats.org/officeDocument/2006/relationships/hyperlink" Target="https://heatlabs.github.io/tanks/fv4030x.html" TargetMode="External"/><Relationship Id="rId206" Type="http://schemas.openxmlformats.org/officeDocument/2006/relationships/hyperlink" Target="https://heatlabs.github.io/news/who-are-they-1.html" TargetMode="External"/><Relationship Id="rId205" Type="http://schemas.openxmlformats.org/officeDocument/2006/relationships/hyperlink" Target="https://heatlabs.github.io/news/update-recap.html" TargetMode="External"/><Relationship Id="rId204" Type="http://schemas.openxmlformats.org/officeDocument/2006/relationships/hyperlink" Target="https://heatlabs.github.io/news/quest-progress.html" TargetMode="External"/><Relationship Id="rId203" Type="http://schemas.openxmlformats.org/officeDocument/2006/relationships/hyperlink" Target="https://heatlabs.github.io/news/project-cw-gamescom-2025.html" TargetMode="External"/><Relationship Id="rId209" Type="http://schemas.openxmlformats.org/officeDocument/2006/relationships/hyperlink" Target="https://heatlabs.github.io/playground/alpha-3-playtest.html" TargetMode="External"/><Relationship Id="rId208" Type="http://schemas.openxmlformats.org/officeDocument/2006/relationships/hyperlink" Target="https://heatlabs.github.io/playground.html" TargetMode="External"/><Relationship Id="rId207" Type="http://schemas.openxmlformats.org/officeDocument/2006/relationships/hyperlink" Target="https://heatlabs.github.io/news/who-are-they-2.html" TargetMode="External"/><Relationship Id="rId202" Type="http://schemas.openxmlformats.org/officeDocument/2006/relationships/hyperlink" Target="https://heatlabs.github.io/news/project-cw-debrief-3.html" TargetMode="External"/><Relationship Id="rId201" Type="http://schemas.openxmlformats.org/officeDocument/2006/relationships/hyperlink" Target="https://heatlabs.github.io/news/project-cw-debrief-2.html" TargetMode="External"/><Relationship Id="rId200" Type="http://schemas.openxmlformats.org/officeDocument/2006/relationships/hyperlink" Target="https://heatlabs.github.io/news/project-cw-debrief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66</v>
      </c>
      <c r="H3" s="10">
        <f>COUNTIF(B:B,"NOT INDEXED")
</f>
        <v>0</v>
      </c>
      <c r="I3" s="10">
        <f>COUNTIF(B:B,"INDEXED")
</f>
        <v>189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7</v>
      </c>
      <c r="C5" s="6" t="s">
        <v>7</v>
      </c>
      <c r="D5" s="6" t="s">
        <v>9</v>
      </c>
      <c r="E5" s="6" t="s">
        <v>10</v>
      </c>
      <c r="F5" s="2"/>
      <c r="G5" s="3" t="s">
        <v>15</v>
      </c>
      <c r="H5" s="4"/>
      <c r="I5" s="4"/>
    </row>
    <row r="6">
      <c r="A6" s="5" t="s">
        <v>16</v>
      </c>
      <c r="B6" s="6" t="s">
        <v>7</v>
      </c>
      <c r="C6" s="6" t="s">
        <v>7</v>
      </c>
      <c r="D6" s="6" t="s">
        <v>17</v>
      </c>
      <c r="E6" s="6" t="s">
        <v>17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17</v>
      </c>
      <c r="E7" s="6" t="s">
        <v>17</v>
      </c>
      <c r="F7" s="2"/>
      <c r="G7" s="10">
        <f>COUNTIF(C:C,"PENDING")
</f>
        <v>100</v>
      </c>
      <c r="H7" s="10">
        <f>COUNTIF(C:C,"NOT INDEXED")
</f>
        <v>0</v>
      </c>
      <c r="I7" s="10">
        <f>COUNTIF(C:C,"INDEXED")
</f>
        <v>155</v>
      </c>
    </row>
    <row r="8">
      <c r="A8" s="5" t="s">
        <v>19</v>
      </c>
      <c r="B8" s="6" t="s">
        <v>7</v>
      </c>
      <c r="C8" s="6" t="s">
        <v>7</v>
      </c>
      <c r="D8" s="6" t="s">
        <v>17</v>
      </c>
      <c r="E8" s="6" t="s">
        <v>17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17</v>
      </c>
      <c r="E9" s="6" t="s">
        <v>17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17</v>
      </c>
      <c r="E10" s="6" t="s">
        <v>17</v>
      </c>
      <c r="F10" s="2"/>
      <c r="G10" s="11" t="s">
        <v>17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17</v>
      </c>
      <c r="E11" s="6" t="s">
        <v>17</v>
      </c>
      <c r="F11" s="2"/>
      <c r="G11" s="10">
        <f>COUNTIF(D:D,"UNKNOWN")
</f>
        <v>231</v>
      </c>
      <c r="H11" s="10">
        <f>COUNTIF(D:D,"NOT HTTPS")
</f>
        <v>0</v>
      </c>
      <c r="I11" s="10">
        <f>COUNTIF(D:D,"HTTPS")
</f>
        <v>24</v>
      </c>
    </row>
    <row r="12">
      <c r="A12" s="5" t="s">
        <v>25</v>
      </c>
      <c r="B12" s="6" t="s">
        <v>7</v>
      </c>
      <c r="C12" s="6" t="s">
        <v>7</v>
      </c>
      <c r="D12" s="6" t="s">
        <v>17</v>
      </c>
      <c r="E12" s="6" t="s">
        <v>17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17</v>
      </c>
      <c r="E13" s="6" t="s">
        <v>17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17</v>
      </c>
      <c r="E14" s="6" t="s">
        <v>17</v>
      </c>
      <c r="F14" s="2"/>
      <c r="G14" s="11" t="s">
        <v>17</v>
      </c>
      <c r="H14" s="12" t="s">
        <v>29</v>
      </c>
      <c r="I14" s="13" t="s">
        <v>10</v>
      </c>
    </row>
    <row r="15">
      <c r="A15" s="5" t="s">
        <v>30</v>
      </c>
      <c r="B15" s="6" t="s">
        <v>8</v>
      </c>
      <c r="C15" s="6" t="s">
        <v>8</v>
      </c>
      <c r="D15" s="6" t="s">
        <v>17</v>
      </c>
      <c r="E15" s="6" t="s">
        <v>17</v>
      </c>
      <c r="F15" s="2"/>
      <c r="G15" s="10">
        <f>COUNTIF(E:E,"UNKNOWN")
</f>
        <v>231</v>
      </c>
      <c r="H15" s="10">
        <f>COUNTIF(E:E,"INVALID")
</f>
        <v>0</v>
      </c>
      <c r="I15" s="10">
        <f>COUNTIF(E:E,"VALID")
</f>
        <v>24</v>
      </c>
    </row>
    <row r="16">
      <c r="A16" s="5" t="s">
        <v>31</v>
      </c>
      <c r="B16" s="6" t="s">
        <v>7</v>
      </c>
      <c r="C16" s="6" t="s">
        <v>8</v>
      </c>
      <c r="D16" s="6" t="s">
        <v>17</v>
      </c>
      <c r="E16" s="6" t="s">
        <v>17</v>
      </c>
      <c r="F16" s="2"/>
      <c r="G16" s="2"/>
      <c r="H16" s="2"/>
      <c r="I16" s="2"/>
    </row>
    <row r="17">
      <c r="A17" s="5" t="s">
        <v>32</v>
      </c>
      <c r="B17" s="6" t="s">
        <v>8</v>
      </c>
      <c r="C17" s="6" t="s">
        <v>7</v>
      </c>
      <c r="D17" s="6" t="s">
        <v>17</v>
      </c>
      <c r="E17" s="6" t="s">
        <v>17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17</v>
      </c>
      <c r="E18" s="6" t="s">
        <v>17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8</v>
      </c>
      <c r="D19" s="6" t="s">
        <v>17</v>
      </c>
      <c r="E19" s="6" t="s">
        <v>17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17</v>
      </c>
      <c r="E20" s="6" t="s">
        <v>17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17</v>
      </c>
      <c r="E21" s="6" t="s">
        <v>17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17</v>
      </c>
      <c r="E22" s="6" t="s">
        <v>17</v>
      </c>
      <c r="F22" s="2"/>
      <c r="G22" s="2"/>
      <c r="H22" s="2"/>
      <c r="I22" s="2"/>
    </row>
    <row r="23">
      <c r="A23" s="5" t="s">
        <v>38</v>
      </c>
      <c r="B23" s="6" t="s">
        <v>8</v>
      </c>
      <c r="C23" s="6" t="s">
        <v>7</v>
      </c>
      <c r="D23" s="6" t="s">
        <v>17</v>
      </c>
      <c r="E23" s="6" t="s">
        <v>17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17</v>
      </c>
      <c r="E24" s="6" t="s">
        <v>17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17</v>
      </c>
      <c r="E25" s="6" t="s">
        <v>17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17</v>
      </c>
      <c r="E26" s="6" t="s">
        <v>17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8</v>
      </c>
      <c r="D27" s="6" t="s">
        <v>17</v>
      </c>
      <c r="E27" s="6" t="s">
        <v>17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17</v>
      </c>
      <c r="E28" s="6" t="s">
        <v>17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17</v>
      </c>
      <c r="E29" s="6" t="s">
        <v>17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17</v>
      </c>
      <c r="E30" s="6" t="s">
        <v>17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17</v>
      </c>
      <c r="E31" s="6" t="s">
        <v>17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17</v>
      </c>
      <c r="E32" s="6" t="s">
        <v>17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17</v>
      </c>
      <c r="E33" s="6" t="s">
        <v>17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9</v>
      </c>
      <c r="E34" s="6" t="s">
        <v>10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14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7</v>
      </c>
      <c r="C37" s="6" t="s">
        <v>7</v>
      </c>
      <c r="D37" s="6" t="s">
        <v>17</v>
      </c>
      <c r="E37" s="6" t="s">
        <v>17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17</v>
      </c>
      <c r="E38" s="6" t="s">
        <v>17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17</v>
      </c>
      <c r="E39" s="6" t="s">
        <v>17</v>
      </c>
      <c r="F39" s="2"/>
      <c r="G39" s="2"/>
      <c r="H39" s="2"/>
      <c r="I39" s="2"/>
    </row>
    <row r="40">
      <c r="A40" s="5" t="s">
        <v>55</v>
      </c>
      <c r="B40" s="6" t="s">
        <v>56</v>
      </c>
      <c r="C40" s="6" t="s">
        <v>56</v>
      </c>
      <c r="D40" s="6" t="s">
        <v>56</v>
      </c>
      <c r="E40" s="6" t="s">
        <v>56</v>
      </c>
      <c r="F40" s="2"/>
      <c r="G40" s="2"/>
      <c r="H40" s="2"/>
      <c r="I40" s="2"/>
    </row>
    <row r="41">
      <c r="A41" s="5" t="s">
        <v>57</v>
      </c>
      <c r="B41" s="6" t="s">
        <v>56</v>
      </c>
      <c r="C41" s="6" t="s">
        <v>56</v>
      </c>
      <c r="D41" s="6" t="s">
        <v>56</v>
      </c>
      <c r="E41" s="6" t="s">
        <v>56</v>
      </c>
      <c r="F41" s="2"/>
      <c r="G41" s="2"/>
      <c r="H41" s="2"/>
      <c r="I41" s="2"/>
    </row>
    <row r="42">
      <c r="A42" s="5" t="s">
        <v>58</v>
      </c>
      <c r="B42" s="6" t="s">
        <v>56</v>
      </c>
      <c r="C42" s="6" t="s">
        <v>56</v>
      </c>
      <c r="D42" s="6" t="s">
        <v>56</v>
      </c>
      <c r="E42" s="6" t="s">
        <v>56</v>
      </c>
      <c r="F42" s="2"/>
      <c r="G42" s="2"/>
      <c r="H42" s="2"/>
      <c r="I42" s="2"/>
    </row>
    <row r="43">
      <c r="A43" s="5" t="s">
        <v>59</v>
      </c>
      <c r="B43" s="6" t="s">
        <v>56</v>
      </c>
      <c r="C43" s="6" t="s">
        <v>56</v>
      </c>
      <c r="D43" s="6" t="s">
        <v>56</v>
      </c>
      <c r="E43" s="6" t="s">
        <v>56</v>
      </c>
      <c r="F43" s="2"/>
      <c r="G43" s="2"/>
      <c r="H43" s="2"/>
      <c r="I43" s="2"/>
    </row>
    <row r="44">
      <c r="A44" s="5" t="s">
        <v>60</v>
      </c>
      <c r="B44" s="6" t="s">
        <v>56</v>
      </c>
      <c r="C44" s="6" t="s">
        <v>56</v>
      </c>
      <c r="D44" s="6" t="s">
        <v>56</v>
      </c>
      <c r="E44" s="6" t="s">
        <v>56</v>
      </c>
      <c r="F44" s="2"/>
      <c r="G44" s="2"/>
      <c r="H44" s="2"/>
      <c r="I44" s="2"/>
    </row>
    <row r="45">
      <c r="A45" s="5" t="s">
        <v>61</v>
      </c>
      <c r="B45" s="6" t="s">
        <v>56</v>
      </c>
      <c r="C45" s="6" t="s">
        <v>56</v>
      </c>
      <c r="D45" s="6" t="s">
        <v>56</v>
      </c>
      <c r="E45" s="6" t="s">
        <v>56</v>
      </c>
      <c r="F45" s="2"/>
      <c r="G45" s="2"/>
      <c r="H45" s="2"/>
      <c r="I45" s="2"/>
    </row>
    <row r="46">
      <c r="A46" s="5" t="s">
        <v>62</v>
      </c>
      <c r="B46" s="6" t="s">
        <v>56</v>
      </c>
      <c r="C46" s="6" t="s">
        <v>56</v>
      </c>
      <c r="D46" s="6" t="s">
        <v>56</v>
      </c>
      <c r="E46" s="6" t="s">
        <v>56</v>
      </c>
      <c r="F46" s="2"/>
      <c r="G46" s="2"/>
      <c r="H46" s="2"/>
      <c r="I46" s="2"/>
    </row>
    <row r="47">
      <c r="A47" s="5" t="s">
        <v>63</v>
      </c>
      <c r="B47" s="6" t="s">
        <v>56</v>
      </c>
      <c r="C47" s="6" t="s">
        <v>56</v>
      </c>
      <c r="D47" s="6" t="s">
        <v>56</v>
      </c>
      <c r="E47" s="6" t="s">
        <v>56</v>
      </c>
      <c r="F47" s="2"/>
      <c r="G47" s="2"/>
      <c r="H47" s="2"/>
      <c r="I47" s="2"/>
    </row>
    <row r="48">
      <c r="A48" s="5" t="s">
        <v>64</v>
      </c>
      <c r="B48" s="6" t="s">
        <v>56</v>
      </c>
      <c r="C48" s="6" t="s">
        <v>56</v>
      </c>
      <c r="D48" s="6" t="s">
        <v>56</v>
      </c>
      <c r="E48" s="6" t="s">
        <v>56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7</v>
      </c>
      <c r="D49" s="6" t="s">
        <v>17</v>
      </c>
      <c r="E49" s="6" t="s">
        <v>17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7</v>
      </c>
      <c r="D50" s="6" t="s">
        <v>17</v>
      </c>
      <c r="E50" s="6" t="s">
        <v>17</v>
      </c>
      <c r="F50" s="2"/>
      <c r="G50" s="2"/>
      <c r="H50" s="2"/>
      <c r="I50" s="2"/>
    </row>
    <row r="51">
      <c r="A51" s="5" t="s">
        <v>67</v>
      </c>
      <c r="B51" s="6" t="s">
        <v>7</v>
      </c>
      <c r="C51" s="6" t="s">
        <v>7</v>
      </c>
      <c r="D51" s="6" t="s">
        <v>17</v>
      </c>
      <c r="E51" s="6" t="s">
        <v>17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17</v>
      </c>
      <c r="E52" s="6" t="s">
        <v>17</v>
      </c>
      <c r="F52" s="2"/>
      <c r="G52" s="2"/>
      <c r="H52" s="2"/>
      <c r="I52" s="2"/>
    </row>
    <row r="53">
      <c r="A53" s="5" t="s">
        <v>69</v>
      </c>
      <c r="B53" s="6" t="s">
        <v>7</v>
      </c>
      <c r="C53" s="6" t="s">
        <v>7</v>
      </c>
      <c r="D53" s="6" t="s">
        <v>17</v>
      </c>
      <c r="E53" s="6" t="s">
        <v>17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17</v>
      </c>
      <c r="E54" s="6" t="s">
        <v>17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17</v>
      </c>
      <c r="E55" s="6" t="s">
        <v>17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8</v>
      </c>
      <c r="D56" s="6" t="s">
        <v>17</v>
      </c>
      <c r="E56" s="6" t="s">
        <v>17</v>
      </c>
      <c r="F56" s="2"/>
      <c r="G56" s="2"/>
      <c r="H56" s="2"/>
      <c r="I56" s="2"/>
    </row>
    <row r="57">
      <c r="A57" s="5" t="s">
        <v>73</v>
      </c>
      <c r="B57" s="6" t="s">
        <v>7</v>
      </c>
      <c r="C57" s="6" t="s">
        <v>7</v>
      </c>
      <c r="D57" s="6" t="s">
        <v>17</v>
      </c>
      <c r="E57" s="6" t="s">
        <v>17</v>
      </c>
      <c r="F57" s="2"/>
      <c r="G57" s="2"/>
      <c r="H57" s="2"/>
      <c r="I57" s="2"/>
    </row>
    <row r="58">
      <c r="A58" s="5" t="s">
        <v>74</v>
      </c>
      <c r="B58" s="6" t="s">
        <v>7</v>
      </c>
      <c r="C58" s="6" t="s">
        <v>7</v>
      </c>
      <c r="D58" s="6" t="s">
        <v>17</v>
      </c>
      <c r="E58" s="6" t="s">
        <v>17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8</v>
      </c>
      <c r="D59" s="6" t="s">
        <v>17</v>
      </c>
      <c r="E59" s="6" t="s">
        <v>17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17</v>
      </c>
      <c r="E60" s="6" t="s">
        <v>17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17</v>
      </c>
      <c r="E61" s="6" t="s">
        <v>17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8</v>
      </c>
      <c r="D62" s="6" t="s">
        <v>17</v>
      </c>
      <c r="E62" s="6" t="s">
        <v>17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17</v>
      </c>
      <c r="E63" s="6" t="s">
        <v>17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17</v>
      </c>
      <c r="E64" s="6" t="s">
        <v>17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17</v>
      </c>
      <c r="E65" s="6" t="s">
        <v>17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17</v>
      </c>
      <c r="E66" s="6" t="s">
        <v>17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17</v>
      </c>
      <c r="E67" s="6" t="s">
        <v>17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8</v>
      </c>
      <c r="D68" s="6" t="s">
        <v>17</v>
      </c>
      <c r="E68" s="6" t="s">
        <v>17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17</v>
      </c>
      <c r="E69" s="6" t="s">
        <v>17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17</v>
      </c>
      <c r="E70" s="6" t="s">
        <v>17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17</v>
      </c>
      <c r="E71" s="6" t="s">
        <v>17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17</v>
      </c>
      <c r="E72" s="6" t="s">
        <v>17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17</v>
      </c>
      <c r="E73" s="6" t="s">
        <v>17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17</v>
      </c>
      <c r="E74" s="6" t="s">
        <v>17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17</v>
      </c>
      <c r="E75" s="6" t="s">
        <v>17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8</v>
      </c>
      <c r="D76" s="6" t="s">
        <v>17</v>
      </c>
      <c r="E76" s="6" t="s">
        <v>17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9</v>
      </c>
      <c r="E77" s="6" t="s">
        <v>10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9</v>
      </c>
      <c r="E78" s="6" t="s">
        <v>10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8</v>
      </c>
      <c r="D80" s="6" t="s">
        <v>17</v>
      </c>
      <c r="E80" s="6" t="s">
        <v>17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8</v>
      </c>
      <c r="D81" s="6" t="s">
        <v>17</v>
      </c>
      <c r="E81" s="6" t="s">
        <v>17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17</v>
      </c>
      <c r="E82" s="6" t="s">
        <v>17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17</v>
      </c>
      <c r="E83" s="6" t="s">
        <v>17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17</v>
      </c>
      <c r="E84" s="6" t="s">
        <v>17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8</v>
      </c>
      <c r="D86" s="6" t="s">
        <v>17</v>
      </c>
      <c r="E86" s="6" t="s">
        <v>17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8</v>
      </c>
      <c r="C88" s="6" t="s">
        <v>8</v>
      </c>
      <c r="D88" s="6" t="s">
        <v>17</v>
      </c>
      <c r="E88" s="6" t="s">
        <v>17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8</v>
      </c>
      <c r="D90" s="6" t="s">
        <v>17</v>
      </c>
      <c r="E90" s="6" t="s">
        <v>17</v>
      </c>
      <c r="F90" s="2"/>
      <c r="G90" s="2"/>
      <c r="H90" s="2"/>
      <c r="I90" s="2"/>
    </row>
    <row r="91">
      <c r="A91" s="5" t="s">
        <v>107</v>
      </c>
      <c r="B91" s="6" t="s">
        <v>8</v>
      </c>
      <c r="C91" s="6" t="s">
        <v>8</v>
      </c>
      <c r="D91" s="6" t="s">
        <v>17</v>
      </c>
      <c r="E91" s="6" t="s">
        <v>17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17</v>
      </c>
      <c r="E93" s="6" t="s">
        <v>17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17</v>
      </c>
      <c r="E95" s="6" t="s">
        <v>17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17</v>
      </c>
      <c r="E96" s="6" t="s">
        <v>17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17</v>
      </c>
      <c r="E97" s="6" t="s">
        <v>17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17</v>
      </c>
      <c r="E98" s="6" t="s">
        <v>17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17</v>
      </c>
      <c r="E99" s="6" t="s">
        <v>17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17</v>
      </c>
      <c r="E100" s="6" t="s">
        <v>17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17</v>
      </c>
      <c r="E101" s="6" t="s">
        <v>17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8</v>
      </c>
      <c r="D102" s="6" t="s">
        <v>17</v>
      </c>
      <c r="E102" s="6" t="s">
        <v>17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17</v>
      </c>
      <c r="E103" s="6" t="s">
        <v>17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17</v>
      </c>
      <c r="E104" s="6" t="s">
        <v>17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17</v>
      </c>
      <c r="E105" s="6" t="s">
        <v>17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17</v>
      </c>
      <c r="E106" s="6" t="s">
        <v>17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8</v>
      </c>
      <c r="D107" s="6" t="s">
        <v>17</v>
      </c>
      <c r="E107" s="6" t="s">
        <v>17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17</v>
      </c>
      <c r="E108" s="6" t="s">
        <v>17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17</v>
      </c>
      <c r="E109" s="6" t="s">
        <v>17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17</v>
      </c>
      <c r="E110" s="6" t="s">
        <v>17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17</v>
      </c>
      <c r="E111" s="6" t="s">
        <v>17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8</v>
      </c>
      <c r="D112" s="6" t="s">
        <v>17</v>
      </c>
      <c r="E112" s="6" t="s">
        <v>17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17</v>
      </c>
      <c r="E113" s="6" t="s">
        <v>17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17</v>
      </c>
      <c r="E114" s="6" t="s">
        <v>17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8</v>
      </c>
      <c r="D115" s="6" t="s">
        <v>17</v>
      </c>
      <c r="E115" s="6" t="s">
        <v>17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17</v>
      </c>
      <c r="E116" s="6" t="s">
        <v>17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17</v>
      </c>
      <c r="E117" s="6" t="s">
        <v>17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17</v>
      </c>
      <c r="E118" s="6" t="s">
        <v>17</v>
      </c>
      <c r="F118" s="2"/>
      <c r="G118" s="2"/>
      <c r="H118" s="2"/>
      <c r="I118" s="2"/>
    </row>
    <row r="119">
      <c r="A119" s="5" t="s">
        <v>135</v>
      </c>
      <c r="B119" s="6" t="s">
        <v>8</v>
      </c>
      <c r="C119" s="6" t="s">
        <v>8</v>
      </c>
      <c r="D119" s="6" t="s">
        <v>17</v>
      </c>
      <c r="E119" s="6" t="s">
        <v>17</v>
      </c>
      <c r="F119" s="2"/>
      <c r="G119" s="2"/>
      <c r="H119" s="2"/>
      <c r="I119" s="2"/>
    </row>
    <row r="120">
      <c r="A120" s="5" t="s">
        <v>136</v>
      </c>
      <c r="B120" s="6" t="s">
        <v>8</v>
      </c>
      <c r="C120" s="6" t="s">
        <v>7</v>
      </c>
      <c r="D120" s="6" t="s">
        <v>17</v>
      </c>
      <c r="E120" s="6" t="s">
        <v>17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8</v>
      </c>
      <c r="D121" s="6" t="s">
        <v>17</v>
      </c>
      <c r="E121" s="6" t="s">
        <v>17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17</v>
      </c>
      <c r="E122" s="6" t="s">
        <v>17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17</v>
      </c>
      <c r="E123" s="6" t="s">
        <v>17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8</v>
      </c>
      <c r="D124" s="6" t="s">
        <v>17</v>
      </c>
      <c r="E124" s="6" t="s">
        <v>17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17</v>
      </c>
      <c r="E125" s="6" t="s">
        <v>17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17</v>
      </c>
      <c r="E126" s="6" t="s">
        <v>17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8</v>
      </c>
      <c r="D127" s="6" t="s">
        <v>17</v>
      </c>
      <c r="E127" s="6" t="s">
        <v>17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17</v>
      </c>
      <c r="E128" s="6" t="s">
        <v>17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17</v>
      </c>
      <c r="E129" s="6" t="s">
        <v>17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8</v>
      </c>
      <c r="D130" s="6" t="s">
        <v>17</v>
      </c>
      <c r="E130" s="6" t="s">
        <v>17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17</v>
      </c>
      <c r="E131" s="6" t="s">
        <v>17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17</v>
      </c>
      <c r="E132" s="6" t="s">
        <v>17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9</v>
      </c>
      <c r="E133" s="6" t="s">
        <v>10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17</v>
      </c>
      <c r="E134" s="6" t="s">
        <v>17</v>
      </c>
      <c r="F134" s="2"/>
      <c r="G134" s="2"/>
      <c r="H134" s="2"/>
      <c r="I134" s="2"/>
    </row>
    <row r="135">
      <c r="A135" s="5" t="s">
        <v>151</v>
      </c>
      <c r="B135" s="6" t="s">
        <v>8</v>
      </c>
      <c r="C135" s="6" t="s">
        <v>7</v>
      </c>
      <c r="D135" s="6" t="s">
        <v>17</v>
      </c>
      <c r="E135" s="6" t="s">
        <v>17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17</v>
      </c>
      <c r="E136" s="6" t="s">
        <v>17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17</v>
      </c>
      <c r="E137" s="6" t="s">
        <v>17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17</v>
      </c>
      <c r="E138" s="6" t="s">
        <v>17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17</v>
      </c>
      <c r="E139" s="6" t="s">
        <v>17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17</v>
      </c>
      <c r="E140" s="6" t="s">
        <v>17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17</v>
      </c>
      <c r="E141" s="6" t="s">
        <v>17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17</v>
      </c>
      <c r="E142" s="6" t="s">
        <v>17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17</v>
      </c>
      <c r="E143" s="6" t="s">
        <v>17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17</v>
      </c>
      <c r="E144" s="6" t="s">
        <v>17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17</v>
      </c>
      <c r="E145" s="6" t="s">
        <v>17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17</v>
      </c>
      <c r="E146" s="6" t="s">
        <v>17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17</v>
      </c>
      <c r="E147" s="6" t="s">
        <v>17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17</v>
      </c>
      <c r="E148" s="6" t="s">
        <v>17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17</v>
      </c>
      <c r="E149" s="6" t="s">
        <v>17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17</v>
      </c>
      <c r="E150" s="6" t="s">
        <v>17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17</v>
      </c>
      <c r="E151" s="6" t="s">
        <v>17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17</v>
      </c>
      <c r="E152" s="6" t="s">
        <v>17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17</v>
      </c>
      <c r="E153" s="6" t="s">
        <v>17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17</v>
      </c>
      <c r="E154" s="6" t="s">
        <v>17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17</v>
      </c>
      <c r="E155" s="6" t="s">
        <v>17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17</v>
      </c>
      <c r="E156" s="6" t="s">
        <v>17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17</v>
      </c>
      <c r="E157" s="6" t="s">
        <v>17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17</v>
      </c>
      <c r="E158" s="6" t="s">
        <v>17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17</v>
      </c>
      <c r="E159" s="6" t="s">
        <v>17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17</v>
      </c>
      <c r="E160" s="6" t="s">
        <v>17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17</v>
      </c>
      <c r="E161" s="6" t="s">
        <v>17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17</v>
      </c>
      <c r="E162" s="6" t="s">
        <v>17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17</v>
      </c>
      <c r="E163" s="6" t="s">
        <v>17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17</v>
      </c>
      <c r="E164" s="6" t="s">
        <v>17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8</v>
      </c>
      <c r="D165" s="6" t="s">
        <v>17</v>
      </c>
      <c r="E165" s="6" t="s">
        <v>17</v>
      </c>
      <c r="F165" s="2"/>
      <c r="G165" s="2"/>
      <c r="H165" s="2"/>
      <c r="I165" s="2"/>
    </row>
    <row r="166">
      <c r="A166" s="5" t="s">
        <v>182</v>
      </c>
      <c r="B166" s="6" t="s">
        <v>8</v>
      </c>
      <c r="C166" s="6" t="s">
        <v>8</v>
      </c>
      <c r="D166" s="6" t="s">
        <v>17</v>
      </c>
      <c r="E166" s="6" t="s">
        <v>17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17</v>
      </c>
      <c r="E167" s="6" t="s">
        <v>17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17</v>
      </c>
      <c r="E168" s="6" t="s">
        <v>17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8</v>
      </c>
      <c r="D169" s="6" t="s">
        <v>17</v>
      </c>
      <c r="E169" s="6" t="s">
        <v>17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17</v>
      </c>
      <c r="E170" s="6" t="s">
        <v>17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17</v>
      </c>
      <c r="E171" s="6" t="s">
        <v>17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17</v>
      </c>
      <c r="E172" s="6" t="s">
        <v>17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17</v>
      </c>
      <c r="E173" s="6" t="s">
        <v>17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17</v>
      </c>
      <c r="E174" s="6" t="s">
        <v>17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17</v>
      </c>
      <c r="E175" s="6" t="s">
        <v>17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17</v>
      </c>
      <c r="E176" s="6" t="s">
        <v>17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17</v>
      </c>
      <c r="E177" s="6" t="s">
        <v>17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17</v>
      </c>
      <c r="E178" s="6" t="s">
        <v>17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17</v>
      </c>
      <c r="E179" s="6" t="s">
        <v>17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17</v>
      </c>
      <c r="E180" s="6" t="s">
        <v>17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17</v>
      </c>
      <c r="E181" s="6" t="s">
        <v>17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17</v>
      </c>
      <c r="E182" s="6" t="s">
        <v>17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17</v>
      </c>
      <c r="E183" s="6" t="s">
        <v>17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17</v>
      </c>
      <c r="E184" s="6" t="s">
        <v>17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17</v>
      </c>
      <c r="E185" s="6" t="s">
        <v>17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17</v>
      </c>
      <c r="E186" s="6" t="s">
        <v>17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17</v>
      </c>
      <c r="E187" s="6" t="s">
        <v>17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17</v>
      </c>
      <c r="E188" s="6" t="s">
        <v>17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17</v>
      </c>
      <c r="E189" s="6" t="s">
        <v>17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8</v>
      </c>
      <c r="D190" s="6" t="s">
        <v>17</v>
      </c>
      <c r="E190" s="6" t="s">
        <v>17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8</v>
      </c>
      <c r="D191" s="6" t="s">
        <v>17</v>
      </c>
      <c r="E191" s="6" t="s">
        <v>17</v>
      </c>
      <c r="F191" s="2"/>
      <c r="G191" s="2"/>
      <c r="H191" s="2"/>
      <c r="I191" s="2"/>
    </row>
    <row r="192">
      <c r="A192" s="5" t="s">
        <v>208</v>
      </c>
      <c r="B192" s="6" t="s">
        <v>8</v>
      </c>
      <c r="C192" s="6" t="s">
        <v>8</v>
      </c>
      <c r="D192" s="6" t="s">
        <v>17</v>
      </c>
      <c r="E192" s="6" t="s">
        <v>17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17</v>
      </c>
      <c r="E193" s="6" t="s">
        <v>17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17</v>
      </c>
      <c r="E194" s="6" t="s">
        <v>17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17</v>
      </c>
      <c r="E195" s="6" t="s">
        <v>17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17</v>
      </c>
      <c r="E196" s="6" t="s">
        <v>17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17</v>
      </c>
      <c r="E197" s="6" t="s">
        <v>17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17</v>
      </c>
      <c r="E198" s="6" t="s">
        <v>17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7</v>
      </c>
      <c r="D199" s="6" t="s">
        <v>17</v>
      </c>
      <c r="E199" s="6" t="s">
        <v>17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7</v>
      </c>
      <c r="D200" s="6" t="s">
        <v>17</v>
      </c>
      <c r="E200" s="6" t="s">
        <v>17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7</v>
      </c>
      <c r="D201" s="6" t="s">
        <v>17</v>
      </c>
      <c r="E201" s="6" t="s">
        <v>17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17</v>
      </c>
      <c r="E202" s="6" t="s">
        <v>17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17</v>
      </c>
      <c r="E203" s="6" t="s">
        <v>17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17</v>
      </c>
      <c r="E204" s="6" t="s">
        <v>17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17</v>
      </c>
      <c r="E205" s="6" t="s">
        <v>17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17</v>
      </c>
      <c r="E206" s="6" t="s">
        <v>17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17</v>
      </c>
      <c r="E207" s="6" t="s">
        <v>17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17</v>
      </c>
      <c r="E208" s="6" t="s">
        <v>17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9</v>
      </c>
      <c r="E209" s="6" t="s">
        <v>10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17</v>
      </c>
      <c r="E210" s="6" t="s">
        <v>17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17</v>
      </c>
      <c r="E211" s="6" t="s">
        <v>17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17</v>
      </c>
      <c r="E212" s="6" t="s">
        <v>17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17</v>
      </c>
      <c r="E213" s="6" t="s">
        <v>17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8</v>
      </c>
      <c r="D214" s="6" t="s">
        <v>17</v>
      </c>
      <c r="E214" s="6" t="s">
        <v>17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17</v>
      </c>
      <c r="E215" s="6" t="s">
        <v>17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17</v>
      </c>
      <c r="E216" s="6" t="s">
        <v>17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17</v>
      </c>
      <c r="E217" s="6" t="s">
        <v>17</v>
      </c>
      <c r="F217" s="2"/>
      <c r="G217" s="2"/>
      <c r="H217" s="2"/>
      <c r="I217" s="2"/>
    </row>
    <row r="218">
      <c r="A218" s="5" t="s">
        <v>234</v>
      </c>
      <c r="B218" s="6" t="s">
        <v>8</v>
      </c>
      <c r="C218" s="6" t="s">
        <v>8</v>
      </c>
      <c r="D218" s="6" t="s">
        <v>17</v>
      </c>
      <c r="E218" s="6" t="s">
        <v>17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9</v>
      </c>
      <c r="E219" s="6" t="s">
        <v>10</v>
      </c>
      <c r="F219" s="2"/>
      <c r="G219" s="2"/>
      <c r="H219" s="2"/>
      <c r="I219" s="2"/>
    </row>
    <row r="220">
      <c r="A220" s="5" t="s">
        <v>236</v>
      </c>
      <c r="B220" s="6" t="s">
        <v>8</v>
      </c>
      <c r="C220" s="6" t="s">
        <v>8</v>
      </c>
      <c r="D220" s="6" t="s">
        <v>17</v>
      </c>
      <c r="E220" s="6" t="s">
        <v>17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9</v>
      </c>
      <c r="E221" s="6" t="s">
        <v>10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17</v>
      </c>
      <c r="E222" s="6" t="s">
        <v>17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7</v>
      </c>
      <c r="D223" s="6" t="s">
        <v>17</v>
      </c>
      <c r="E223" s="6" t="s">
        <v>17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9</v>
      </c>
      <c r="E224" s="6" t="s">
        <v>10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17</v>
      </c>
      <c r="E225" s="6" t="s">
        <v>17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17</v>
      </c>
      <c r="E226" s="6" t="s">
        <v>17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9</v>
      </c>
      <c r="E227" s="6" t="s">
        <v>10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9</v>
      </c>
      <c r="E228" s="6" t="s">
        <v>10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17</v>
      </c>
      <c r="E229" s="6" t="s">
        <v>17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17</v>
      </c>
      <c r="E230" s="6" t="s">
        <v>17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17</v>
      </c>
      <c r="E231" s="6" t="s">
        <v>17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17</v>
      </c>
      <c r="E232" s="6" t="s">
        <v>17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17</v>
      </c>
      <c r="E233" s="6" t="s">
        <v>17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17</v>
      </c>
      <c r="E234" s="6" t="s">
        <v>17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17</v>
      </c>
      <c r="E235" s="6" t="s">
        <v>17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17</v>
      </c>
      <c r="E236" s="6" t="s">
        <v>17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17</v>
      </c>
      <c r="E237" s="6" t="s">
        <v>17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17</v>
      </c>
      <c r="E238" s="6" t="s">
        <v>17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17</v>
      </c>
      <c r="E239" s="6" t="s">
        <v>17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17</v>
      </c>
      <c r="E240" s="6" t="s">
        <v>17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17</v>
      </c>
      <c r="E241" s="6" t="s">
        <v>17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17</v>
      </c>
      <c r="E242" s="6" t="s">
        <v>17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17</v>
      </c>
      <c r="E243" s="6" t="s">
        <v>17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17</v>
      </c>
      <c r="E244" s="6" t="s">
        <v>17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17</v>
      </c>
      <c r="E245" s="6" t="s">
        <v>17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17</v>
      </c>
      <c r="E246" s="6" t="s">
        <v>17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17</v>
      </c>
      <c r="E247" s="6" t="s">
        <v>17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17</v>
      </c>
      <c r="E248" s="6" t="s">
        <v>17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17</v>
      </c>
      <c r="E249" s="6" t="s">
        <v>17</v>
      </c>
      <c r="F249" s="2"/>
      <c r="G249" s="2"/>
      <c r="H249" s="2"/>
      <c r="I249" s="2"/>
    </row>
    <row r="250">
      <c r="A250" s="15" t="s">
        <v>266</v>
      </c>
      <c r="B250" s="6" t="s">
        <v>7</v>
      </c>
      <c r="C250" s="6" t="s">
        <v>7</v>
      </c>
      <c r="D250" s="6" t="s">
        <v>9</v>
      </c>
      <c r="E250" s="6" t="s">
        <v>10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17</v>
      </c>
      <c r="E251" s="6" t="s">
        <v>17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17</v>
      </c>
      <c r="E252" s="6" t="s">
        <v>17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17</v>
      </c>
      <c r="E253" s="6" t="s">
        <v>17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17</v>
      </c>
      <c r="E254" s="6" t="s">
        <v>17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17</v>
      </c>
      <c r="E255" s="6" t="s">
        <v>17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8</v>
      </c>
      <c r="D256" s="6" t="s">
        <v>17</v>
      </c>
      <c r="E256" s="6" t="s">
        <v>17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17</v>
      </c>
      <c r="E257" s="6" t="s">
        <v>17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9</v>
      </c>
      <c r="E258" s="6" t="s">
        <v>10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17</v>
      </c>
      <c r="E259" s="6" t="s">
        <v>17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17</v>
      </c>
      <c r="E260" s="6" t="s">
        <v>17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17</v>
      </c>
      <c r="E261" s="6" t="s">
        <v>17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8</v>
      </c>
      <c r="D262" s="6" t="s">
        <v>17</v>
      </c>
      <c r="E262" s="6" t="s">
        <v>17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8</v>
      </c>
      <c r="D263" s="6" t="s">
        <v>17</v>
      </c>
      <c r="E263" s="6" t="s">
        <v>17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8</v>
      </c>
      <c r="D264" s="6" t="s">
        <v>17</v>
      </c>
      <c r="E264" s="6" t="s">
        <v>17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8</v>
      </c>
      <c r="D265" s="6" t="s">
        <v>17</v>
      </c>
      <c r="E265" s="6" t="s">
        <v>17</v>
      </c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</hyperlinks>
  <drawing r:id="rId265"/>
</worksheet>
</file>